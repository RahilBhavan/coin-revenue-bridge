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e6893156124d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scriptive Review" sheetId="1" r:id="R5625055560eb456f"/>
    <x:sheet xmlns:r="http://schemas.openxmlformats.org/officeDocument/2006/relationships" name="Bridge Calculation" sheetId="2" r:id="R4b37bf1d15ba4f26"/>
    <x:sheet xmlns:r="http://schemas.openxmlformats.org/officeDocument/2006/relationships" name="Definition Appendix" sheetId="3" r:id="R99b90a33222e4468"/>
    <x:sheet xmlns:r="http://schemas.openxmlformats.org/officeDocument/2006/relationships" name="Metric Inputs" sheetId="4" r:id="Rad58ff49166041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$#,##0.0;($#,##0.0);-"/>
    <x:numFmt numFmtId="202" formatCode="0.000%"/>
    <x:numFmt numFmtId="203" formatCode="0.0%;(0.0%);-"/>
    <x:numFmt numFmtId="204" formatCode="#,##0.0"/>
  </x:numFmts>
  <x:fonts count="9">
    <x:font>
      <x:sz val="11"/>
      <x:name val="Carlito"/>
    </x:font>
    <x:font>
      <x:b/>
      <x:sz val="11"/>
      <x:color rgb="FF9C5700"/>
      <x:name val="Arial"/>
    </x:font>
    <x:font>
      <x:b/>
      <x:sz val="10"/>
      <x:color rgb="FFFFFFFF"/>
      <x:name val="Arial"/>
    </x:font>
    <x:font>
      <x:sz val="10"/>
      <x:color rgb="FF172B4D"/>
      <x:name val="Arial"/>
    </x:font>
    <x:font>
      <x:sz val="10"/>
      <x:color rgb="FF0000FF"/>
      <x:name val="Arial"/>
    </x:font>
    <x:font>
      <x:b/>
      <x:sz val="15"/>
      <x:color rgb="FF172B4D"/>
      <x:name val="Arial"/>
    </x:font>
    <x:font>
      <x:sz val="10"/>
      <x:color rgb="FF000000"/>
      <x:name val="Arial"/>
    </x:font>
    <x:font>
      <x:b/>
      <x:sz val="10"/>
      <x:color rgb="FF172B4D"/>
      <x:name val="Arial"/>
    </x:font>
    <x:font>
      <x:sz val="10"/>
      <x:color rgb="FF00800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172B4D"/>
      </x:patternFill>
    </x:fill>
  </x:fills>
  <x:borders count="4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3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203" fontId="3" fillId="0" borderId="0" xfId="0" applyNumberFormat="1" applyFont="1" applyFill="1" applyBorder="1" applyAlignment="1">
      <x:alignment vertical="center"/>
    </x:xf>
    <x:xf numFmtId="201" fontId="6" fillId="0" borderId="0" xfId="0" applyNumberFormat="1" applyFont="1" applyFill="1" applyBorder="1" applyAlignment="1">
      <x:alignment vertical="center"/>
    </x:xf>
    <x:xf numFmtId="203" fontId="6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204" fontId="4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/>
    <x:xf numFmtId="201" fontId="8" fillId="0" borderId="0" xfId="0" applyNumberFormat="1" applyFont="1" applyFill="1" applyBorder="1"/>
    <x:xf numFmtId="201" fontId="0" fillId="0" borderId="0" xfId="0" applyNumberFormat="1" applyFont="1" applyFill="1" applyBorder="1"/>
    <x:xf numFmtId="204" fontId="3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c7b38fd89a4f9b" /><Relationship Type="http://schemas.openxmlformats.org/officeDocument/2006/relationships/theme" Target="/xl/theme/theme1.xml" Id="R0e1f90dbd3bd4170" /><Relationship Type="http://schemas.openxmlformats.org/officeDocument/2006/relationships/sharedStrings" Target="/xl/sharedStrings.xml" Id="R220174b93e364458" /><Relationship Type="http://schemas.openxmlformats.org/officeDocument/2006/relationships/worksheet" Target="/xl/worksheets/sheet1.xml" Id="R5625055560eb456f" /><Relationship Type="http://schemas.openxmlformats.org/officeDocument/2006/relationships/worksheet" Target="/xl/worksheets/sheet2.xml" Id="R4b37bf1d15ba4f26" /><Relationship Type="http://schemas.openxmlformats.org/officeDocument/2006/relationships/worksheet" Target="/xl/worksheets/sheet3.xml" Id="R99b90a33222e4468" /><Relationship Type="http://schemas.openxmlformats.org/officeDocument/2006/relationships/worksheet" Target="/xl/worksheets/sheet4.xml" Id="Rad58ff491660416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8deb198a9d64f3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Consumer transaction revenue trend ($mm)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Revenue ($mm)</c:v>
          </c:tx>
          <c:spPr>
            <a:ln xmlns:a="http://schemas.openxmlformats.org/drawingml/2006/main" w="19050">
              <a:solidFill>
                <a:srgbClr val="1652F0"/>
              </a:solidFill>
              <a:prstDash val="solid"/>
            </a:ln>
          </c:spPr>
          <c:marker>
            <c:symbol val="none"/>
          </c:marker>
          <c:cat>
            <c:strRef>
              <c:f>'Descriptive Review'!$B$16:$B$19</c:f>
              <c:strCache>
                <c:ptCount val="0"/>
              </c:strCache>
            </c:strRef>
          </c:cat>
          <c:val>
            <c:numRef>
              <c:f>'Descriptive Review'!$C$16:$C$19</c:f>
              <c:numCache>
                <c:formatCode>$#,##0.0;($#,##0.0);-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13</xdr:row>
      <xdr:rowOff>0</xdr:rowOff>
    </xdr:from>
    <xdr:to>
      <xdr:col>14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8deb198a9d64f3e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cbc611806fc4d12" /></Relationships>
</file>

<file path=xl/worksheets/sheet1.xml><?xml version="1.0" encoding="utf-8"?>
<x:worksheet xmlns:x="http://schemas.openxmlformats.org/spreadsheetml/2006/main">
  <x:sheetPr>
    <x:tabColor rgb="FF1652F0"/>
  </x:sheetPr>
  <x:sheetViews>
    <x:sheetView showGridLines="0" workbookViewId="0"/>
  </x:sheetViews>
  <x:sheetFormatPr defaultRowHeight="15"/>
  <x:cols>
    <x:col min="2" max="2" width="23" hidden="0" customWidth="1"/>
    <x:col min="3" max="3" width="20" hidden="0" customWidth="1"/>
    <x:col min="5" max="5" width="18" hidden="0" customWidth="1"/>
    <x:col min="6" max="6" width="18" hidden="0" customWidth="1"/>
    <x:col min="8" max="8" width="18" hidden="0" customWidth="1"/>
    <x:col min="9" max="9" width="44" hidden="0" customWidth="1"/>
  </x:cols>
  <x:sheetData>
    <x:row r="2">
      <x:c r="B2" s="24" t="str">
        <x:v>Coinbase consumer transaction revenue review</x:v>
      </x:c>
      <x:c r="C2" s="24"/>
      <x:c r="D2" s="24"/>
      <x:c r="E2" s="24"/>
      <x:c r="F2" s="24"/>
      <x:c r="G2" s="24"/>
      <x:c r="H2" s="24"/>
      <x:c r="I2" s="24"/>
      <x:c r="J2" s="24"/>
      <x:c r="K2" s="24"/>
      <x:c r="L2" s="24"/>
      <x:c r="M2" s="24"/>
      <x:c r="N2" s="24"/>
    </x:row>
    <x:row r="3">
      <x:c r="B3" s="2" t="str">
        <x:v>DESCRIPTIVE / NOT A FORECAST — SAMPLE / NOT FOR SHARING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5">
      <x:c r="B5" s="17" t="str">
        <x:v>Selected comparison</x:v>
      </x:c>
      <x:c r="C5" s="31" t="str">
        <x:f>'Bridge Calculation'!A4</x:f>
        <x:v>synthetic-q3-to-q4</x:v>
      </x:c>
      <x:c r="E5" s="14" t="str">
        <x:v>Bridge check</x:v>
      </x:c>
      <x:c r="F5" s="16" t="str">
        <x:v>Amount ($mm)</x:v>
      </x:c>
      <x:c r="H5" s="14" t="str">
        <x:v>Management readout</x:v>
      </x:c>
      <x:c r="I5" s="16"/>
    </x:row>
    <x:row r="6">
      <x:c r="B6" s="17" t="str">
        <x:v>From quarter</x:v>
      </x:c>
      <x:c r="C6" s="31" t="str">
        <x:v>Q3:24</x:v>
      </x:c>
      <x:c r="E6" t="str">
        <x:v>Residual</x:v>
      </x:c>
      <x:c r="F6" s="33" t="n">
        <x:f>'Bridge Calculation'!P4</x:f>
        <x:v>0</x:v>
      </x:c>
      <x:c r="H6" t="str">
        <x:v>Fixed-order result</x:v>
      </x:c>
      <x:c r="I6" s="29" t="str">
        <x:v>Volume explains 98.7% of the Q3-to-Q4 revenue increase under the disclosed volume-first bridge.</x:v>
      </x:c>
    </x:row>
    <x:row r="7">
      <x:c r="B7" s="17" t="str">
        <x:v>To quarter</x:v>
      </x:c>
      <x:c r="C7" s="31" t="str">
        <x:v>Q4:24</x:v>
      </x:c>
      <x:c r="E7" t="str">
        <x:v>Tolerance</x:v>
      </x:c>
      <x:c r="F7" s="33" t="n">
        <x:v>0.1</x:v>
      </x:c>
      <x:c r="H7" t="str">
        <x:v>Symmetric result</x:v>
      </x:c>
      <x:c r="I7" s="29" t="str">
        <x:v>See fixed-order bridge.</x:v>
      </x:c>
    </x:row>
    <x:row r="8">
      <x:c r="B8" s="17" t="str">
        <x:v>From revenue ($mm)</x:v>
      </x:c>
      <x:c r="C8" s="32" t="n">
        <x:f>'Bridge Calculation'!D4</x:f>
        <x:v>1180</x:v>
      </x:c>
      <x:c r="E8" t="str">
        <x:v>Status</x:v>
      </x:c>
      <x:c r="F8" t="str">
        <x:f>IF(ABS(F6)&lt;=F7,"Within tolerance","Investigate")</x:f>
        <x:v>Within tolerance</x:v>
      </x:c>
      <x:c r="H8" t="str">
        <x:v>Yield signal</x:v>
      </x:c>
      <x:c r="I8" s="29" t="str">
        <x:v>Calculated effective yield was broadly stable: 1.421% to 1.433%.</x:v>
      </x:c>
    </x:row>
    <x:row r="9">
      <x:c r="B9" s="17" t="str">
        <x:v>To revenue ($mm)</x:v>
      </x:c>
      <x:c r="C9" s="32" t="n">
        <x:f>'Bridge Calculation'!E4</x:f>
        <x:v>1400</x:v>
      </x:c>
      <x:c r="H9" t="str">
        <x:v>Decision use</x:v>
      </x:c>
      <x:c r="I9" s="29" t="str">
        <x:v>Use the bridge to explain the reported change. Do not use it as a forecast or causal attribution.</x:v>
      </x:c>
    </x:row>
    <x:row r="10">
      <x:c r="B10" s="17" t="str">
        <x:v>Revenue change ($mm)</x:v>
      </x:c>
      <x:c r="C10" s="32" t="n">
        <x:f>'Bridge Calculation'!M4</x:f>
        <x:v>220</x:v>
      </x:c>
      <x:c r="H10" t="str">
        <x:v>Next action</x:v>
      </x:c>
      <x:c r="I10" s="29" t="str">
        <x:v>Expand the comparable panel before forecasting.</x:v>
      </x:c>
    </x:row>
    <x:row r="11">
      <x:c r="B11" s="17" t="str">
        <x:v>Volume effect ($mm)</x:v>
      </x:c>
      <x:c r="C11" s="32" t="n">
        <x:f>'Bridge Calculation'!N4</x:f>
        <x:v>208.235294112</x:v>
      </x:c>
    </x:row>
    <x:row r="12">
      <x:c r="B12" s="17" t="str">
        <x:v>Calculated yield effect ($mm)</x:v>
      </x:c>
      <x:c r="C12" s="32" t="n">
        <x:f>'Bridge Calculation'!O4</x:f>
        <x:v>11.764705920000173</x:v>
      </x:c>
    </x:row>
    <x:row r="15">
      <x:c r="B15" s="14" t="str">
        <x:v>Quarter</x:v>
      </x:c>
      <x:c r="C15" s="15" t="str">
        <x:v>Revenue ($mm)</x:v>
      </x:c>
      <x:c r="D15" s="16" t="str">
        <x:v>Volume ($bn)</x:v>
      </x:c>
    </x:row>
    <x:row r="16">
      <x:c r="B16" s="18" t="str">
        <x:f>'Metric Inputs'!A4</x:f>
        <x:v>Q1:24</x:v>
      </x:c>
      <x:c r="C16" s="23" t="n">
        <x:f>'Metric Inputs'!C4</x:f>
        <x:v>1100</x:v>
      </x:c>
      <x:c r="D16" s="34" t="n">
        <x:f>'Metric Inputs'!D4</x:f>
        <x:v>60</x:v>
      </x:c>
    </x:row>
    <x:row r="17">
      <x:c r="B17" s="18" t="str">
        <x:f>'Metric Inputs'!A5</x:f>
        <x:v>Q2:24</x:v>
      </x:c>
      <x:c r="C17" s="23" t="n">
        <x:f>'Metric Inputs'!C5</x:f>
        <x:v>1250</x:v>
      </x:c>
      <x:c r="D17" s="34" t="n">
        <x:f>'Metric Inputs'!D5</x:f>
        <x:v>72</x:v>
      </x:c>
    </x:row>
    <x:row r="18">
      <x:c r="B18" s="18" t="str">
        <x:f>'Metric Inputs'!A6</x:f>
        <x:v>Q3:24</x:v>
      </x:c>
      <x:c r="C18" s="23" t="n">
        <x:f>'Metric Inputs'!C6</x:f>
        <x:v>1180</x:v>
      </x:c>
      <x:c r="D18" s="34" t="n">
        <x:f>'Metric Inputs'!D6</x:f>
        <x:v>68</x:v>
      </x:c>
    </x:row>
    <x:row r="19">
      <x:c r="B19" s="18" t="str">
        <x:f>'Metric Inputs'!A7</x:f>
        <x:v>Q4:24</x:v>
      </x:c>
      <x:c r="C19" s="23" t="n">
        <x:f>'Metric Inputs'!C7</x:f>
        <x:v>1400</x:v>
      </x:c>
      <x:c r="D19" s="34" t="n">
        <x:f>'Metric Inputs'!D7</x:f>
        <x:v>80</x:v>
      </x:c>
    </x:row>
    <x:row r="20">
      <x:c r="B20" s="18"/>
      <x:c r="C20" s="23"/>
      <x:c r="D20" s="34"/>
    </x:row>
    <x:row r="21">
      <x:c r="B21" s="18"/>
      <x:c r="C21" s="23"/>
      <x:c r="D21" s="34"/>
    </x:row>
    <x:row r="22">
      <x:c r="B22" s="18"/>
      <x:c r="C22" s="23"/>
      <x:c r="D22" s="34"/>
    </x:row>
    <x:row r="23">
      <x:c r="B23" s="18"/>
      <x:c r="C23" s="23"/>
      <x:c r="D23" s="34"/>
    </x:row>
    <x:row r="24">
      <x:c r="B24" s="18"/>
      <x:c r="C24" s="23"/>
      <x:c r="D24" s="34"/>
    </x:row>
    <x:row r="27">
      <x:c r="B27" s="28" t="str">
        <x:v>Interpretation boundary</x:v>
      </x:c>
      <x:c r="C27" s="29" t="str">
        <x:v>This is an algebraic decomposition of a reported change. It does not establish causality. Calculated effective yield is revenue divided by reported consumer volume, not a reported fee rate.</x:v>
      </x:c>
      <x:c r="D27" s="29"/>
      <x:c r="E27" s="29"/>
      <x:c r="F27" s="29"/>
      <x:c r="G27" s="29"/>
      <x:c r="H27" s="29"/>
      <x:c r="I27" s="29"/>
      <x:c r="J27" s="29"/>
      <x:c r="K27" s="29"/>
      <x:c r="L27" s="29"/>
      <x:c r="M27" s="29"/>
      <x:c r="N27" s="29"/>
    </x:row>
    <x:row r="28">
      <x:c r="B28" s="28" t="str">
        <x:v>Definition control</x:v>
      </x:c>
      <x:c r="C28" s="29" t="str">
        <x:v>The nine-quarter trend uses the post-Q1 2024 revenue definition. See Definition Appendix for original and recast Q3/Q4 2023 values.</x:v>
      </x:c>
      <x:c r="D28" s="29"/>
      <x:c r="E28" s="29"/>
      <x:c r="F28" s="29"/>
      <x:c r="G28" s="29"/>
      <x:c r="H28" s="29"/>
      <x:c r="I28" s="29"/>
      <x:c r="J28" s="29"/>
      <x:c r="K28" s="29"/>
      <x:c r="L28" s="29"/>
      <x:c r="M28" s="29"/>
      <x:c r="N28" s="29"/>
    </x:row>
    <x:row r="29">
      <x:c r="B29" s="28" t="str">
        <x:v>Source</x:v>
      </x:c>
      <x:c r="C29" s="29" t="str">
        <x:v>SEC-filed Coinbase shareholder letters. Exact URLs, publication dates, source IDs, and definition families appear in Metric Inputs.</x:v>
      </x:c>
      <x:c r="D29" s="29"/>
      <x:c r="E29" s="29"/>
      <x:c r="F29" s="29"/>
      <x:c r="G29" s="29"/>
      <x:c r="H29" s="29"/>
      <x:c r="I29" s="29"/>
      <x:c r="J29" s="29"/>
      <x:c r="K29" s="29"/>
      <x:c r="L29" s="29"/>
      <x:c r="M29" s="29"/>
      <x:c r="N29" s="29"/>
    </x:row>
  </x:sheetData>
  <x:mergeCells>
    <x:mergeCell ref="C27:N27"/>
    <x:mergeCell ref="C28:N28"/>
    <x:mergeCell ref="C29:N29"/>
  </x:mergeCells>
  <x:pageMargins left="0.7" right="0.7" top="0.75" bottom="0.75" header="0.3" footer="0.3"/>
  <x:drawing xmlns:r="http://schemas.openxmlformats.org/officeDocument/2006/relationships" r:id="Racbc611806fc4d12"/>
</x:worksheet>
</file>

<file path=xl/worksheets/sheet2.xml><?xml version="1.0" encoding="utf-8"?>
<x:worksheet xmlns:x="http://schemas.openxmlformats.org/spreadsheetml/2006/main">
  <x:sheetPr>
    <x:tabColor rgb="FF7B93F7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53.220001220703125" hidden="0" customWidth="1"/>
    <x:col min="2" max="2" width="9.109999656677246" hidden="0" customWidth="1"/>
    <x:col min="3" max="3" width="8.109999656677246" hidden="0" customWidth="1"/>
    <x:col min="4" max="4" width="15.109999656677246" hidden="0" customWidth="1"/>
    <x:col min="5" max="5" width="13.109999656677246" hidden="0" customWidth="1"/>
    <x:col min="6" max="6" width="13.890000343322754" hidden="0" customWidth="1"/>
    <x:col min="7" max="7" width="11.779999732971191" hidden="0" customWidth="1"/>
    <x:col min="8" max="8" width="8" hidden="0" customWidth="1"/>
    <x:col min="9" max="9" width="6" hidden="0" customWidth="1"/>
    <x:col min="10" max="10" width="12" hidden="0" customWidth="1"/>
    <x:col min="11" max="11" width="34" hidden="0" customWidth="1"/>
    <x:col min="12" max="12" width="34" hidden="0" customWidth="1"/>
    <x:col min="13" max="13" width="17.110000610351562" hidden="0" customWidth="1"/>
    <x:col min="14" max="14" width="15" hidden="0" customWidth="1"/>
    <x:col min="15" max="15" width="13.220000267028809" hidden="0" customWidth="1"/>
    <x:col min="16" max="16" width="11.5600004196167" hidden="0" customWidth="1"/>
  </x:cols>
  <x:sheetData>
    <x:row r="1">
      <x:c r="A1" s="2" t="str">
        <x:v>DESCRIPTIVE / NOT A FORECAST — SAMPLE / NOT FOR SHARING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3">
      <x:c r="A3" s="14" t="str">
        <x:v>Comparison</x:v>
      </x:c>
      <x:c r="B3" s="15" t="str">
        <x:v>From period</x:v>
      </x:c>
      <x:c r="C3" s="15" t="str">
        <x:v>To period</x:v>
      </x:c>
      <x:c r="D3" s="15" t="str">
        <x:v>From revenue ($mm)</x:v>
      </x:c>
      <x:c r="E3" s="15" t="str">
        <x:v>To revenue ($mm)</x:v>
      </x:c>
      <x:c r="F3" s="15" t="str">
        <x:v>From volume ($bn)</x:v>
      </x:c>
      <x:c r="G3" s="15" t="str">
        <x:v>To volume ($bn)</x:v>
      </x:c>
      <x:c r="H3" s="15" t="str">
        <x:v>From yield</x:v>
      </x:c>
      <x:c r="I3" s="15" t="str">
        <x:v>To yield</x:v>
      </x:c>
      <x:c r="J3" s="15" t="str">
        <x:v>Definition family</x:v>
      </x:c>
      <x:c r="K3" s="15" t="str">
        <x:v>Evidence label</x:v>
      </x:c>
      <x:c r="L3" s="15" t="str">
        <x:v>Source reference</x:v>
      </x:c>
      <x:c r="M3" s="15" t="str">
        <x:v>Revenue change ($mm)</x:v>
      </x:c>
      <x:c r="N3" s="15" t="str">
        <x:v>Volume effect ($mm)</x:v>
      </x:c>
      <x:c r="O3" s="15" t="str">
        <x:v>Yield effect ($mm)</x:v>
      </x:c>
      <x:c r="P3" s="16" t="str">
        <x:v>Residual ($mm)</x:v>
      </x:c>
    </x:row>
    <x:row r="4">
      <x:c r="A4" s="19" t="str">
        <x:v>synthetic-q3-to-q4</x:v>
      </x:c>
      <x:c r="B4" s="20" t="n">
        <x:v>45565</x:v>
      </x:c>
      <x:c r="C4" s="20" t="n">
        <x:v>45657</x:v>
      </x:c>
      <x:c r="D4" s="21" t="n">
        <x:v>1180</x:v>
      </x:c>
      <x:c r="E4" s="21" t="n">
        <x:v>1400</x:v>
      </x:c>
      <x:c r="F4" s="21" t="n">
        <x:v>68</x:v>
      </x:c>
      <x:c r="G4" s="21" t="n">
        <x:v>80</x:v>
      </x:c>
      <x:c r="H4" s="22" t="n">
        <x:v>0.017352941176</x:v>
      </x:c>
      <x:c r="I4" s="22" t="n">
        <x:v>0.0175</x:v>
      </x:c>
      <x:c r="J4" s="19" t="str">
        <x:v>synthetic_v1</x:v>
      </x:c>
      <x:c r="K4" s="19" t="str">
        <x:v>SYNTHETIC SAMPLE</x:v>
      </x:c>
      <x:c r="L4" s="19" t="str">
        <x:v>fixture://q3-to-q4</x:v>
      </x:c>
      <x:c r="M4" s="23" t="n">
        <x:f>E4-D4</x:f>
        <x:v>220</x:v>
      </x:c>
      <x:c r="N4" s="23" t="n">
        <x:f>(G4-F4)*H4*1000</x:f>
        <x:v>208.235294112</x:v>
      </x:c>
      <x:c r="O4" s="23" t="n">
        <x:f>G4*(I4-H4)*1000</x:f>
        <x:v>11.764705920000173</x:v>
      </x:c>
      <x:c r="P4" s="23" t="n">
        <x:f>ROUND(M4-N4-O4,1)</x:f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AFC2E6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2" max="2" width="53.220001220703125" hidden="0" customWidth="1"/>
    <x:col min="3" max="3" width="20" hidden="0" customWidth="1"/>
    <x:col min="4" max="4" width="20" hidden="0" customWidth="1"/>
    <x:col min="5" max="5" width="10.779999732971191" hidden="0" customWidth="1"/>
    <x:col min="6" max="6" width="8.670000076293945" hidden="0" customWidth="1"/>
    <x:col min="7" max="7" width="55" hidden="0" customWidth="1"/>
    <x:col min="8" max="8" width="55" hidden="0" customWidth="1"/>
  </x:cols>
  <x:sheetData>
    <x:row r="2">
      <x:c r="B2" s="24" t="str">
        <x:v>Definition-change appendix</x:v>
      </x:c>
      <x:c r="C2" s="24"/>
      <x:c r="D2" s="24"/>
      <x:c r="E2" s="24"/>
      <x:c r="F2" s="24"/>
      <x:c r="G2" s="24"/>
      <x:c r="H2" s="24"/>
    </x:row>
    <x:row r="3">
      <x:c r="B3" s="2" t="str">
        <x:v>DESCRIPTIVE / NOT A FORECAST — SAMPLE / NOT FOR SHARING</x:v>
      </x:c>
      <x:c r="C3" s="2"/>
      <x:c r="D3" s="2"/>
      <x:c r="E3" s="2"/>
      <x:c r="F3" s="2"/>
      <x:c r="G3" s="2"/>
      <x:c r="H3" s="2"/>
    </x:row>
    <x:row r="5">
      <x:c r="B5" s="14" t="str">
        <x:v>Period</x:v>
      </x:c>
      <x:c r="C5" s="15" t="str">
        <x:v>Original revenue ($mm)</x:v>
      </x:c>
      <x:c r="D5" s="15" t="str">
        <x:v>Recast revenue ($mm)</x:v>
      </x:c>
      <x:c r="E5" s="15" t="str">
        <x:v>Change ($mm)</x:v>
      </x:c>
      <x:c r="F5" s="15" t="str">
        <x:v>Change (%)</x:v>
      </x:c>
      <x:c r="G5" s="15" t="str">
        <x:v>Original source</x:v>
      </x:c>
      <x:c r="H5" s="16" t="str">
        <x:v>Recast source</x:v>
      </x:c>
    </x:row>
    <x:row r="6">
      <x:c r="B6" s="18" t="str">
        <x:v>2023-Q3</x:v>
      </x:c>
      <x:c r="C6" s="21" t="n">
        <x:v>274.5</x:v>
      </x:c>
      <x:c r="D6" s="21" t="n">
        <x:v>247</x:v>
      </x:c>
      <x:c r="E6" s="26" t="n">
        <x:f>D6-C6</x:f>
        <x:v>-27.5</x:v>
      </x:c>
      <x:c r="F6" s="27" t="n">
        <x:f>IF(C6=0,"n.a.",E6/C6)</x:f>
        <x:v>-0.10018214936247723</x:v>
      </x:c>
      <x:c r="G6" s="18" t="str">
        <x:v>SRC-Q3-2023: https://www.sec.gov/Archives/edgar/data/1679788/000167978823000112/secshareholderletterq320.htm</x:v>
      </x:c>
      <x:c r="H6" s="18" t="str">
        <x:v>SRC-Q1-2024: https://www.sec.gov/Archives/edgar/data/1679788/000167978824000087/secshareholderletterq120.htm</x:v>
      </x:c>
    </x:row>
    <x:row r="7">
      <x:c r="B7" s="18" t="str">
        <x:v>2023-Q4</x:v>
      </x:c>
      <x:c r="C7" s="21" t="n">
        <x:v>492.5</x:v>
      </x:c>
      <x:c r="D7" s="21" t="n">
        <x:v>468.9</x:v>
      </x:c>
      <x:c r="E7" s="26" t="n">
        <x:f>D7-C7</x:f>
        <x:v>-23.600000000000023</x:v>
      </x:c>
      <x:c r="F7" s="27" t="n">
        <x:f>IF(C7=0,"n.a.",E7/C7)</x:f>
        <x:v>-0.04791878172588837</x:v>
      </x:c>
      <x:c r="G7" s="18" t="str">
        <x:v>SRC-Q4-2023: https://www.sec.gov/Archives/edgar/data/1679788/000167978824000019/shareholderletterq42023.htm</x:v>
      </x:c>
      <x:c r="H7" s="18" t="str">
        <x:v>SRC-Q1-2024: https://www.sec.gov/Archives/edgar/data/1679788/000167978824000087/secshareholderletterq120.htm</x:v>
      </x:c>
    </x:row>
    <x:row r="10">
      <x:c r="B10" s="28" t="str">
        <x:v>What changed</x:v>
      </x:c>
      <x:c r="C10" s="29" t="str">
        <x:v>Beginning with Q1 2024 reporting, Coinbase moved Base and payment-related revenue out of consumer transaction revenue and recast prior periods.</x:v>
      </x:c>
      <x:c r="D10" s="29"/>
      <x:c r="E10" s="29"/>
      <x:c r="F10" s="29"/>
      <x:c r="G10" s="29"/>
      <x:c r="H10" s="29"/>
    </x:row>
    <x:row r="11">
      <x:c r="B11" s="28" t="str">
        <x:v>Interpretation</x:v>
      </x:c>
      <x:c r="C11" s="29" t="str">
        <x:v>The recast reduced Q3 2023 by $27.5mm and Q4 2023 by $23.6mm. Trend analysis uses the recast series for comparability.</x:v>
      </x:c>
      <x:c r="D11" s="29"/>
      <x:c r="E11" s="29"/>
      <x:c r="F11" s="29"/>
      <x:c r="G11" s="29"/>
      <x:c r="H11" s="29"/>
    </x:row>
    <x:row r="12">
      <x:c r="B12" s="28" t="str">
        <x:v>Control</x:v>
      </x:c>
      <x:c r="C12" s="29" t="str">
        <x:v>Original and recast observations remain separate. The workbook does not overwrite publication-vintage evidence.</x:v>
      </x:c>
      <x:c r="D12" s="29"/>
      <x:c r="E12" s="29"/>
      <x:c r="F12" s="29"/>
      <x:c r="G12" s="29"/>
      <x:c r="H12" s="29"/>
    </x:row>
  </x:sheetData>
  <x:mergeCells>
    <x:mergeCell ref="C10:H10"/>
    <x:mergeCell ref="C11:H11"/>
    <x:mergeCell ref="C12:H1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D9C7A2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53.220001220703125" hidden="0" customWidth="1"/>
    <x:col min="2" max="2" width="8.109999656677246" hidden="0" customWidth="1"/>
    <x:col min="3" max="3" width="27.219999313354492" hidden="0" customWidth="1"/>
    <x:col min="4" max="4" width="22.889999389648438" hidden="0" customWidth="1"/>
    <x:col min="5" max="5" width="18.219999313354492" hidden="0" customWidth="1"/>
    <x:col min="6" max="6" width="11" hidden="0" customWidth="1"/>
    <x:col min="7" max="7" width="40" hidden="0" customWidth="1"/>
    <x:col min="8" max="8" width="40" hidden="0" customWidth="1"/>
    <x:col min="9" max="9" width="40" hidden="0" customWidth="1"/>
    <x:col min="10" max="10" width="40" hidden="0" customWidth="1"/>
  </x:cols>
  <x:sheetData>
    <x:row r="1">
      <x:c r="A1" s="2" t="str">
        <x:v>DESCRIPTIVE / NOT A FORECAST — SAMPLE / NOT FOR SHARING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3">
      <x:c r="A3" s="14" t="str">
        <x:v>Quarter</x:v>
      </x:c>
      <x:c r="B3" s="15" t="str">
        <x:v>Period end</x:v>
      </x:c>
      <x:c r="C3" s="15" t="str">
        <x:v>Consumer transaction revenue ($mm)</x:v>
      </x:c>
      <x:c r="D3" s="15" t="str">
        <x:v>Consumer trading volume ($bn)</x:v>
      </x:c>
      <x:c r="E3" s="15" t="str">
        <x:v>Calculated effective yield</x:v>
      </x:c>
      <x:c r="F3" s="15" t="str">
        <x:v>Published date</x:v>
      </x:c>
      <x:c r="G3" s="15" t="str">
        <x:v>Definition family</x:v>
      </x:c>
      <x:c r="H3" s="15" t="str">
        <x:v>Evidence label</x:v>
      </x:c>
      <x:c r="I3" s="15" t="str">
        <x:v>Source ID</x:v>
      </x:c>
      <x:c r="J3" s="16" t="str">
        <x:v>SEC source URL</x:v>
      </x:c>
    </x:row>
    <x:row r="4">
      <x:c r="A4" s="19" t="str">
        <x:v>Q1:24</x:v>
      </x:c>
      <x:c r="B4" s="20" t="n">
        <x:v>45382</x:v>
      </x:c>
      <x:c r="C4" s="21" t="n">
        <x:v>1100</x:v>
      </x:c>
      <x:c r="D4" s="30" t="n">
        <x:v>60</x:v>
      </x:c>
      <x:c r="E4" s="22" t="n">
        <x:v>0.018333333333333333</x:v>
      </x:c>
      <x:c r="F4" s="20" t="n">
        <x:v>45414</x:v>
      </x:c>
      <x:c r="G4" s="19" t="str">
        <x:v>synthetic_v1</x:v>
      </x:c>
      <x:c r="H4" s="19" t="str">
        <x:v>SYNTHETIC SAMPLE</x:v>
      </x:c>
      <x:c r="I4" s="19" t="str">
        <x:v>fixture://quarter-2024-q1</x:v>
      </x:c>
      <x:c r="J4" s="19" t="str">
        <x:v>fixture://quarter-2024-q1: source not registered</x:v>
      </x:c>
    </x:row>
    <x:row r="5">
      <x:c r="A5" s="19" t="str">
        <x:v>Q2:24</x:v>
      </x:c>
      <x:c r="B5" s="20" t="n">
        <x:v>45473</x:v>
      </x:c>
      <x:c r="C5" s="21" t="n">
        <x:v>1250</x:v>
      </x:c>
      <x:c r="D5" s="30" t="n">
        <x:v>72</x:v>
      </x:c>
      <x:c r="E5" s="22" t="n">
        <x:v>0.017361111111111112</x:v>
      </x:c>
      <x:c r="F5" s="20" t="n">
        <x:v>45505</x:v>
      </x:c>
      <x:c r="G5" s="19" t="str">
        <x:v>synthetic_v1</x:v>
      </x:c>
      <x:c r="H5" s="19" t="str">
        <x:v>SYNTHETIC SAMPLE</x:v>
      </x:c>
      <x:c r="I5" s="19" t="str">
        <x:v>fixture://quarter-2024-q2</x:v>
      </x:c>
      <x:c r="J5" s="19" t="str">
        <x:v>fixture://quarter-2024-q2: source not registered</x:v>
      </x:c>
    </x:row>
    <x:row r="6">
      <x:c r="A6" s="19" t="str">
        <x:v>Q3:24</x:v>
      </x:c>
      <x:c r="B6" s="20" t="n">
        <x:v>45565</x:v>
      </x:c>
      <x:c r="C6" s="21" t="n">
        <x:v>1180</x:v>
      </x:c>
      <x:c r="D6" s="30" t="n">
        <x:v>68</x:v>
      </x:c>
      <x:c r="E6" s="22" t="n">
        <x:v>0.01735294117647059</x:v>
      </x:c>
      <x:c r="F6" s="20" t="n">
        <x:v>45595</x:v>
      </x:c>
      <x:c r="G6" s="19" t="str">
        <x:v>synthetic_v1</x:v>
      </x:c>
      <x:c r="H6" s="19" t="str">
        <x:v>SYNTHETIC SAMPLE</x:v>
      </x:c>
      <x:c r="I6" s="19" t="str">
        <x:v>fixture://quarter-2024-q3</x:v>
      </x:c>
      <x:c r="J6" s="19" t="str">
        <x:v>fixture://quarter-2024-q3: source not registered</x:v>
      </x:c>
    </x:row>
    <x:row r="7">
      <x:c r="A7" s="19" t="str">
        <x:v>Q4:24</x:v>
      </x:c>
      <x:c r="B7" s="20" t="n">
        <x:v>45657</x:v>
      </x:c>
      <x:c r="C7" s="21" t="n">
        <x:v>1400</x:v>
      </x:c>
      <x:c r="D7" s="30" t="n">
        <x:v>80</x:v>
      </x:c>
      <x:c r="E7" s="22" t="n">
        <x:v>0.0175</x:v>
      </x:c>
      <x:c r="F7" s="20" t="n">
        <x:v>45701</x:v>
      </x:c>
      <x:c r="G7" s="19" t="str">
        <x:v>synthetic_v1</x:v>
      </x:c>
      <x:c r="H7" s="19" t="str">
        <x:v>SYNTHETIC SAMPLE</x:v>
      </x:c>
      <x:c r="I7" s="19" t="str">
        <x:v>fixture://quarter-2024-q4</x:v>
      </x:c>
      <x:c r="J7" s="19" t="str">
        <x:v>fixture://quarter-2024-q4: source not registered</x:v>
      </x:c>
    </x:row>
  </x:sheetData>
  <x:pageMargins left="0.7" right="0.7" top="0.75" bottom="0.75" header="0.3" footer="0.3"/>
</x:worksheet>
</file>