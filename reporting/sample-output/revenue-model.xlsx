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0c62a30be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 Review" sheetId="1" r:id="Rc8c6d6fc0c9a48c7"/>
    <x:sheet xmlns:r="http://schemas.openxmlformats.org/officeDocument/2006/relationships" name="Forecast Build" sheetId="2" r:id="R214d1778735a45ec"/>
    <x:sheet xmlns:r="http://schemas.openxmlformats.org/officeDocument/2006/relationships" name="Metric Inputs" sheetId="3" r:id="R5862ab0e0c24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.0;($#,##0.0);-"/>
    <x:numFmt numFmtId="202" formatCode="#,##0.0"/>
    <x:numFmt numFmtId="203" formatCode="0.000%"/>
    <x:numFmt numFmtId="204" formatCode="0.0%"/>
  </x:numFmts>
  <x:fonts count="9">
    <x:font>
      <x:sz val="11"/>
      <x:name val="Carlito"/>
    </x:font>
    <x:font>
      <x:b/>
      <x:sz val="11"/>
      <x:color rgb="FF9C5700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5"/>
      <x:color rgb="FF172B4D"/>
      <x:name val="Arial"/>
    </x:font>
    <x:font>
      <x:sz val="10"/>
      <x:color rgb="FF000000"/>
      <x:name val="Arial"/>
    </x:font>
    <x:font>
      <x:b/>
      <x:sz val="10"/>
      <x:color rgb="FF172B4D"/>
      <x:name val="Arial"/>
    </x:font>
    <x:font>
      <x:sz val="10"/>
      <x:color rgb="FF172B4D"/>
      <x:name val="Arial"/>
    </x:font>
    <x:font>
      <x:sz val="10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2B4D"/>
      </x:patternFill>
    </x:fill>
    <x:fill>
      <x:patternFill patternType="solid">
        <x:fgColor rgb="FFE9EFFD"/>
      </x:patternFill>
    </x:fill>
  </x:fills>
  <x:borders count="7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B7C4DF"/>
      </x:left>
      <x:top style="thin">
        <x:color rgb="FFB7C4DF"/>
      </x:top>
      <x:bottom style="thin">
        <x:color rgb="FFB7C4DF"/>
      </x:bottom>
    </x:border>
    <x:border>
      <x:top style="thin">
        <x:color rgb="FFB7C4DF"/>
      </x:top>
      <x:bottom style="thin">
        <x:color rgb="FFB7C4DF"/>
      </x:bottom>
    </x:border>
    <x:border>
      <x:right style="thin">
        <x:color rgb="FFB7C4DF"/>
      </x:right>
      <x:top style="thin">
        <x:color rgb="FFB7C4DF"/>
      </x:top>
      <x:bottom style="thin">
        <x:color rgb="FFB7C4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/>
    <x:xf numFmtId="204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c0ea886cd4db7" /><Relationship Type="http://schemas.openxmlformats.org/officeDocument/2006/relationships/theme" Target="/xl/theme/theme1.xml" Id="Rfc8927ef5b7a4417" /><Relationship Type="http://schemas.openxmlformats.org/officeDocument/2006/relationships/sharedStrings" Target="/xl/sharedStrings.xml" Id="R1b6a28113a3b441d" /><Relationship Type="http://schemas.openxmlformats.org/officeDocument/2006/relationships/worksheet" Target="/xl/worksheets/sheet1.xml" Id="Rc8c6d6fc0c9a48c7" /><Relationship Type="http://schemas.openxmlformats.org/officeDocument/2006/relationships/worksheet" Target="/xl/worksheets/sheet2.xml" Id="R214d1778735a45ec" /><Relationship Type="http://schemas.openxmlformats.org/officeDocument/2006/relationships/worksheet" Target="/xl/worksheets/sheet3.xml" Id="R5862ab0e0c24434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52F0"/>
  </x:sheetPr>
  <x:sheetViews>
    <x:sheetView showGridLines="0" workbookViewId="0"/>
  </x:sheetViews>
  <x:sheetFormatPr defaultRowHeight="15"/>
  <x:cols>
    <x:col min="3" max="3" width="22" hidden="0" customWidth="1"/>
    <x:col min="4" max="4" width="18" hidden="0" customWidth="1"/>
    <x:col min="5" max="5" width="16" hidden="0" customWidth="1"/>
    <x:col min="6" max="6" width="24" hidden="0" customWidth="1"/>
    <x:col min="7" max="7" width="18" hidden="0" customWidth="1"/>
    <x:col min="8" max="8" width="22" hidden="0" customWidth="1"/>
    <x:col min="9" max="9" width="18" hidden="0" customWidth="1"/>
    <x:col min="10" max="10" width="14" hidden="0" customWidth="1"/>
  </x:cols>
  <x:sheetData>
    <x:row r="2">
      <x:c r="C2" s="17" t="str">
        <x:v>Coinbase Strategic Finance forecast review</x:v>
      </x:c>
      <x:c r="D2" s="17"/>
      <x:c r="E2" s="17"/>
      <x:c r="F2" s="17"/>
      <x:c r="G2" s="17"/>
      <x:c r="H2" s="17"/>
      <x:c r="I2" s="17"/>
      <x:c r="J2" s="17"/>
    </x:row>
    <x:row r="3">
      <x:c r="C3" s="3" t="str">
        <x:v>SAMPLE / NOT FOR SHARING</x:v>
      </x:c>
      <x:c r="D3" s="4"/>
      <x:c r="E3" s="4"/>
      <x:c r="F3" s="4"/>
      <x:c r="G3" s="4"/>
      <x:c r="H3" s="4"/>
      <x:c r="I3" s="4"/>
      <x:c r="J3" s="5"/>
    </x:row>
    <x:row r="5">
      <x:c r="C5" s="24" t="str">
        <x:v>Featured forecast</x:v>
      </x:c>
      <x:c r="D5" s="25"/>
      <x:c r="E5" s="25"/>
      <x:c r="F5" s="26"/>
    </x:row>
    <x:row r="6">
      <x:c r="C6" s="27" t="str">
        <x:v>Target period</x:v>
      </x:c>
      <x:c r="D6" s="31" t="n">
        <x:f>'Forecast Build'!A13</x:f>
        <x:v>45657</x:v>
      </x:c>
      <x:c r="E6" s="27"/>
      <x:c r="F6" s="28" t="str">
        <x:v>Bridge</x:v>
      </x:c>
      <x:c r="G6" s="28" t="str">
        <x:v>Amount ($mm)</x:v>
      </x:c>
      <x:c r="H6" s="27"/>
      <x:c r="I6" s="27"/>
      <x:c r="J6" s="27"/>
    </x:row>
    <x:row r="7">
      <x:c r="C7" s="27" t="str">
        <x:v>Information cutoff</x:v>
      </x:c>
      <x:c r="D7" s="31" t="n">
        <x:f>'Forecast Build'!C13</x:f>
        <x:v>45611</x:v>
      </x:c>
      <x:c r="E7" s="27"/>
      <x:c r="F7" s="27" t="str">
        <x:v>Volume effect</x:v>
      </x:c>
      <x:c r="G7" s="32" t="n">
        <x:f>'Forecast Build'!Q13</x:f>
        <x:v>34.871794872</x:v>
      </x:c>
      <x:c r="H7" s="27"/>
      <x:c r="I7" s="27"/>
      <x:c r="J7" s="27"/>
    </x:row>
    <x:row r="8">
      <x:c r="C8" s="27" t="str">
        <x:v>Driver forecast ($mm)</x:v>
      </x:c>
      <x:c r="D8" s="32" t="n">
        <x:f>'Forecast Build'!D13</x:f>
        <x:v>1360</x:v>
      </x:c>
      <x:c r="E8" s="27"/>
      <x:c r="F8" s="27" t="str">
        <x:v>Effective-yield effect</x:v>
      </x:c>
      <x:c r="G8" s="32" t="n">
        <x:f>'Forecast Build'!R13</x:f>
        <x:v>5.128205119999951</x:v>
      </x:c>
      <x:c r="H8" s="27"/>
      <x:c r="I8" s="27"/>
      <x:c r="J8" s="27"/>
    </x:row>
    <x:row r="9">
      <x:c r="C9" s="27" t="str">
        <x:v>Prior-quarter baseline ($mm)</x:v>
      </x:c>
      <x:c r="D9" s="32" t="n">
        <x:f>'Forecast Build'!D11</x:f>
        <x:v>1180</x:v>
      </x:c>
      <x:c r="E9" s="27"/>
      <x:c r="F9" s="27" t="str">
        <x:v>Residual</x:v>
      </x:c>
      <x:c r="G9" s="32" t="n">
        <x:f>'Forecast Build'!S13</x:f>
        <x:v>-2.2737367544323206e-13</x:v>
      </x:c>
      <x:c r="H9" s="27"/>
      <x:c r="I9" s="27"/>
      <x:c r="J9" s="27"/>
    </x:row>
    <x:row r="10">
      <x:c r="C10" s="27" t="str">
        <x:v>Actual revenue ($mm)</x:v>
      </x:c>
      <x:c r="D10" s="32" t="n">
        <x:f>'Forecast Build'!E13</x:f>
        <x:v>1400</x:v>
      </x:c>
      <x:c r="E10" s="27"/>
      <x:c r="F10" s="27" t="str">
        <x:v>Reconciliation difference</x:v>
      </x:c>
      <x:c r="G10" s="32" t="n">
        <x:f>'Forecast Build'!T13</x:f>
        <x:v>-8.000270668162557e-9</x:v>
      </x:c>
      <x:c r="H10" s="27"/>
      <x:c r="I10" s="27"/>
      <x:c r="J10" s="27"/>
    </x:row>
    <x:row r="11">
      <x:c r="C11" s="27" t="str">
        <x:v>Forecast variance ($mm)</x:v>
      </x:c>
      <x:c r="D11" s="32" t="n">
        <x:f>'Forecast Build'!E13-'Forecast Build'!D13</x:f>
        <x:v>40</x:v>
      </x:c>
      <x:c r="E11" s="27"/>
      <x:c r="F11" s="27" t="str">
        <x:v>Rounding tolerance</x:v>
      </x:c>
      <x:c r="G11" s="33" t="n">
        <x:v>0.1</x:v>
      </x:c>
      <x:c r="H11" s="27"/>
      <x:c r="I11" s="27"/>
      <x:c r="J11" s="27"/>
    </x:row>
    <x:row r="12">
      <x:c r="C12" s="27"/>
      <x:c r="D12" s="27"/>
      <x:c r="E12" s="27"/>
      <x:c r="F12" s="27"/>
      <x:c r="G12" s="27"/>
      <x:c r="H12" s="27"/>
      <x:c r="I12" s="27"/>
      <x:c r="J12" s="27"/>
    </x:row>
    <x:row r="13">
      <x:c r="C13" s="27"/>
      <x:c r="D13" s="27"/>
      <x:c r="E13" s="27"/>
      <x:c r="F13" s="27"/>
      <x:c r="G13" s="27"/>
      <x:c r="H13" s="27"/>
      <x:c r="I13" s="27"/>
      <x:c r="J13" s="27"/>
    </x:row>
    <x:row r="14">
      <x:c r="C14" s="24" t="str">
        <x:v>Eligible holdout performance</x:v>
      </x:c>
      <x:c r="D14" s="25"/>
      <x:c r="E14" s="25"/>
      <x:c r="F14" s="26"/>
      <x:c r="G14" s="27"/>
      <x:c r="H14" s="24" t="str">
        <x:v>Driver holdout totals</x:v>
      </x:c>
      <x:c r="I14" s="25"/>
      <x:c r="J14" s="26"/>
    </x:row>
    <x:row r="15">
      <x:c r="C15" s="28" t="str">
        <x:v>Model</x:v>
      </x:c>
      <x:c r="D15" s="28" t="str">
        <x:v>Holdouts</x:v>
      </x:c>
      <x:c r="E15" s="28" t="str">
        <x:v>MAE ($mm)</x:v>
      </x:c>
      <x:c r="F15" s="28" t="str">
        <x:v>Signed bias ($mm)</x:v>
      </x:c>
      <x:c r="G15" s="27"/>
      <x:c r="H15" s="28" t="str">
        <x:v>Metric</x:v>
      </x:c>
      <x:c r="I15" s="28" t="str">
        <x:v>Result</x:v>
      </x:c>
      <x:c r="J15" s="27"/>
    </x:row>
    <x:row r="16">
      <x:c r="C16" s="27" t="str">
        <x:v>prior_quarter</x:v>
      </x:c>
      <x:c r="D16" s="19" t="n">
        <x:f>COUNTIFS('Forecast Build'!$B$5:$B$13,C16,'Forecast Build'!$J$5:$J$13,"TRUE")</x:f>
        <x:v>3</x:v>
      </x:c>
      <x:c r="E16" s="21" t="n">
        <x:f>IF(D16=0,"n.a.",SUMIFS('Forecast Build'!$N$5:$N$13,'Forecast Build'!$B$5:$B$13,C16,'Forecast Build'!$J$5:$J$13,"TRUE")/D16)</x:f>
        <x:v>146.66666666666666</x:v>
      </x:c>
      <x:c r="F16" s="21" t="n">
        <x:f>IF(D16=0,"n.a.",SUMIFS('Forecast Build'!$M$5:$M$13,'Forecast Build'!$B$5:$B$13,C16,'Forecast Build'!$J$5:$J$13,"TRUE")/D16)</x:f>
        <x:v>-100</x:v>
      </x:c>
      <x:c r="G16" s="27"/>
      <x:c r="H16" s="27" t="str">
        <x:v>Absolute error ($mm)</x:v>
      </x:c>
      <x:c r="I16" s="21" t="n">
        <x:f>SUMIFS('Forecast Build'!$N$5:$N$13,'Forecast Build'!$B$5:$B$13,"driver",'Forecast Build'!$J$5:$J$13,"TRUE")</x:f>
        <x:v>125</x:v>
      </x:c>
      <x:c r="J16" s="27"/>
    </x:row>
    <x:row r="17">
      <x:c r="C17" s="27" t="str">
        <x:v>prior_year</x:v>
      </x:c>
      <x:c r="D17" s="19" t="n">
        <x:f>COUNTIFS('Forecast Build'!$B$5:$B$13,C17,'Forecast Build'!$J$5:$J$13,"TRUE")</x:f>
        <x:v>3</x:v>
      </x:c>
      <x:c r="E17" s="21" t="n">
        <x:f>IF(D17=0,"n.a.",SUMIFS('Forecast Build'!$N$5:$N$13,'Forecast Build'!$B$5:$B$13,C17,'Forecast Build'!$J$5:$J$13,"TRUE")/D17)</x:f>
        <x:v>216.66666666666666</x:v>
      </x:c>
      <x:c r="F17" s="21" t="n">
        <x:f>IF(D17=0,"n.a.",SUMIFS('Forecast Build'!$M$5:$M$13,'Forecast Build'!$B$5:$B$13,C17,'Forecast Build'!$J$5:$J$13,"TRUE")/D17)</x:f>
        <x:v>-216.66666666666666</x:v>
      </x:c>
      <x:c r="G17" s="27"/>
      <x:c r="H17" s="27" t="str">
        <x:v>Actual revenue ($mm)</x:v>
      </x:c>
      <x:c r="I17" s="21" t="n">
        <x:f>SUMIFS('Forecast Build'!$E$5:$E$13,'Forecast Build'!$B$5:$B$13,"driver",'Forecast Build'!$J$5:$J$13,"TRUE")</x:f>
        <x:v>3830</x:v>
      </x:c>
      <x:c r="J17" s="27"/>
    </x:row>
    <x:row r="18">
      <x:c r="C18" s="27" t="str">
        <x:v>driver</x:v>
      </x:c>
      <x:c r="D18" s="19" t="n">
        <x:f>COUNTIFS('Forecast Build'!$B$5:$B$13,C18,'Forecast Build'!$J$5:$J$13,"TRUE")</x:f>
        <x:v>3</x:v>
      </x:c>
      <x:c r="E18" s="21" t="n">
        <x:f>IF(D18=0,"n.a.",SUMIFS('Forecast Build'!$N$5:$N$13,'Forecast Build'!$B$5:$B$13,C18,'Forecast Build'!$J$5:$J$13,"TRUE")/D18)</x:f>
        <x:v>41.666666666666664</x:v>
      </x:c>
      <x:c r="F18" s="21" t="n">
        <x:f>IF(D18=0,"n.a.",SUMIFS('Forecast Build'!$M$5:$M$13,'Forecast Build'!$B$5:$B$13,C18,'Forecast Build'!$J$5:$J$13,"TRUE")/D18)</x:f>
        <x:v>-18.333333333333332</x:v>
      </x:c>
      <x:c r="G18" s="27"/>
      <x:c r="H18" s="27" t="str">
        <x:v>WAPE</x:v>
      </x:c>
      <x:c r="I18" s="34" t="n">
        <x:f>IF(I17=0,"n.a.",I16/I17)</x:f>
        <x:v>0.03263707571801567</x:v>
      </x:c>
      <x:c r="J18" s="27"/>
    </x:row>
    <x:row r="19">
      <x:c r="C19" s="27"/>
      <x:c r="D19" s="27"/>
      <x:c r="E19" s="27"/>
      <x:c r="F19" s="27"/>
      <x:c r="G19" s="27"/>
      <x:c r="H19" s="27"/>
      <x:c r="I19" s="27"/>
      <x:c r="J19" s="27"/>
    </x:row>
    <x:row r="20">
      <x:c r="C20" s="27"/>
      <x:c r="D20" s="27"/>
      <x:c r="E20" s="27"/>
      <x:c r="F20" s="27"/>
      <x:c r="G20" s="27"/>
      <x:c r="H20" s="27"/>
      <x:c r="I20" s="27"/>
      <x:c r="J20" s="27"/>
    </x:row>
    <x:row r="21">
      <x:c r="C21" s="24" t="str">
        <x:v>Interpretation and limitation</x:v>
      </x:c>
      <x:c r="D21" s="25"/>
      <x:c r="E21" s="25"/>
      <x:c r="F21" s="25"/>
      <x:c r="G21" s="25"/>
      <x:c r="H21" s="25"/>
      <x:c r="I21" s="25"/>
      <x:c r="J21" s="26"/>
    </x:row>
    <x:row r="22" ht="32" customHeight="1">
      <x:c r="C22" s="35" t="str">
        <x:v>Recommendation</x:v>
      </x:c>
      <x:c r="D22" s="36" t="str">
        <x:v>Keep the prior-quarter baseline visible and use the driver model only after cutoff and definition checks pass.</x:v>
      </x:c>
      <x:c r="E22" s="36"/>
      <x:c r="F22" s="36"/>
      <x:c r="G22" s="36"/>
      <x:c r="H22" s="36"/>
      <x:c r="I22" s="36"/>
      <x:c r="J22" s="36"/>
    </x:row>
    <x:row r="23" ht="32" customHeight="1">
      <x:c r="C23" s="35" t="str">
        <x:v>Strongest objection</x:v>
      </x:c>
      <x:c r="D23" s="36" t="str">
        <x:v>Calculated effective yield is a proxy, not a reported causal driver; a small sample cannot establish stability.</x:v>
      </x:c>
      <x:c r="E23" s="36"/>
      <x:c r="F23" s="36"/>
      <x:c r="G23" s="36"/>
      <x:c r="H23" s="36"/>
      <x:c r="I23" s="36"/>
      <x:c r="J23" s="36"/>
    </x:row>
    <x:row r="24" ht="32" customHeight="1">
      <x:c r="C24" s="35" t="str">
        <x:v>Evidence boundary</x:v>
      </x:c>
      <x:c r="D24" s="36" t="str">
        <x:v>All values are synthetic fixtures. Do not cite, share, or interpret them as Coinbase results.</x:v>
      </x:c>
      <x:c r="E24" s="36"/>
      <x:c r="F24" s="36"/>
      <x:c r="G24" s="36"/>
      <x:c r="H24" s="36"/>
      <x:c r="I24" s="36"/>
      <x:c r="J24" s="36"/>
    </x:row>
  </x:sheetData>
  <x:mergeCells>
    <x:mergeCell ref="D22:J22"/>
    <x:mergeCell ref="D23:J23"/>
    <x:mergeCell ref="D24:J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CF6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7.66999816894531" hidden="0" customWidth="1"/>
    <x:col min="2" max="2" width="18" hidden="0" customWidth="1"/>
    <x:col min="3" max="3" width="13.220000267028809" hidden="0" customWidth="1"/>
    <x:col min="4" max="4" width="18.219999313354492" hidden="0" customWidth="1"/>
    <x:col min="5" max="5" width="16" hidden="0" customWidth="1"/>
    <x:col min="6" max="6" width="16.329999923706055" hidden="0" customWidth="1"/>
    <x:col min="7" max="7" width="14.670000076293945" hidden="0" customWidth="1"/>
    <x:col min="8" max="8" width="10.4399995803833" hidden="0" customWidth="1"/>
    <x:col min="9" max="9" width="8.779999732971191" hidden="0" customWidth="1"/>
    <x:col min="10" max="10" width="5.78000020980835" hidden="0" customWidth="1"/>
    <x:col min="11" max="11" width="18" hidden="0" customWidth="1"/>
    <x:col min="12" max="12" width="18" hidden="0" customWidth="1"/>
    <x:col min="13" max="13" width="14.109999656677246" hidden="0" customWidth="1"/>
    <x:col min="14" max="14" width="15.5600004196167" hidden="0" customWidth="1"/>
    <x:col min="15" max="15" width="26.780000686645508" hidden="0" customWidth="1"/>
    <x:col min="16" max="16" width="25.329999923706055" hidden="0" customWidth="1"/>
    <x:col min="17" max="17" width="15" hidden="0" customWidth="1"/>
    <x:col min="18" max="18" width="13.220000267028809" hidden="0" customWidth="1"/>
    <x:col min="19" max="19" width="16.110000610351562" hidden="0" customWidth="1"/>
    <x:col min="20" max="20" width="17.559999465942383" hidden="0" customWidth="1"/>
  </x:cols>
  <x:sheetData>
    <x:row r="1" ht="23" customHeight="1">
      <x:c r="A1" s="3" t="str">
        <x:v>SAMPLE / NOT FOR SHARING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5"/>
    </x:row>
    <x:row r="2" ht="23" customHeight="1">
      <x:c r="A2" s="17" t="str">
        <x:v>Forecast and exact variance bridge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4">
      <x:c r="A4" s="10" t="str">
        <x:v>Target period</x:v>
      </x:c>
      <x:c r="B4" s="10" t="str">
        <x:v>Model</x:v>
      </x:c>
      <x:c r="C4" s="10" t="str">
        <x:v>Information cutoff</x:v>
      </x:c>
      <x:c r="D4" s="10" t="str">
        <x:v>Predicted revenue ($mm)</x:v>
      </x:c>
      <x:c r="E4" s="10" t="str">
        <x:v>Actual revenue ($mm)</x:v>
      </x:c>
      <x:c r="F4" s="10" t="str">
        <x:v>Forecast volume ($bn)</x:v>
      </x:c>
      <x:c r="G4" s="10" t="str">
        <x:v>Actual volume ($bn)</x:v>
      </x:c>
      <x:c r="H4" s="10" t="str">
        <x:v>Forecast yield</x:v>
      </x:c>
      <x:c r="I4" s="10" t="str">
        <x:v>Actual yield</x:v>
      </x:c>
      <x:c r="J4" s="10" t="str">
        <x:v>Eligible</x:v>
      </x:c>
      <x:c r="K4" s="10" t="str">
        <x:v>Exclusion reason</x:v>
      </x:c>
      <x:c r="L4" s="10" t="str">
        <x:v>Definition family</x:v>
      </x:c>
      <x:c r="M4" s="10" t="str">
        <x:v>Signed error ($mm)</x:v>
      </x:c>
      <x:c r="N4" s="10" t="str">
        <x:v>Absolute error ($mm)</x:v>
      </x:c>
      <x:c r="O4" s="10" t="str">
        <x:v>Revenue from forecast drivers ($mm)</x:v>
      </x:c>
      <x:c r="P4" s="10" t="str">
        <x:v>Revenue from actual drivers ($mm)</x:v>
      </x:c>
      <x:c r="Q4" s="10" t="str">
        <x:v>Volume effect ($mm)</x:v>
      </x:c>
      <x:c r="R4" s="10" t="str">
        <x:v>Yield effect ($mm)</x:v>
      </x:c>
      <x:c r="S4" s="10" t="str">
        <x:v>Bridge residual ($mm)</x:v>
      </x:c>
      <x:c r="T4" s="10" t="str">
        <x:v>Bridge difference ($mm)</x:v>
      </x:c>
    </x:row>
    <x:row r="5">
      <x:c r="A5" s="13" t="n">
        <x:v>45473</x:v>
      </x:c>
      <x:c r="B5" s="12" t="str">
        <x:v>prior_quarter</x:v>
      </x:c>
      <x:c r="C5" s="13" t="n">
        <x:v>45427</x:v>
      </x:c>
      <x:c r="D5" s="14" t="n">
        <x:v>1100</x:v>
      </x:c>
      <x:c r="E5" s="14" t="n">
        <x:v>1250</x:v>
      </x:c>
      <x:c r="F5" s="14"/>
      <x:c r="G5" s="14"/>
      <x:c r="H5" s="20"/>
      <x:c r="I5" s="20"/>
      <x:c r="J5" s="12" t="str">
        <x:v>TRUE</x:v>
      </x:c>
      <x:c r="K5" s="12" t="str"/>
      <x:c r="L5" s="12" t="str">
        <x:v>synthetic_v1</x:v>
      </x:c>
      <x:c r="M5" s="21" t="n">
        <x:f>IF(J5="TRUE",D5-E5,"")</x:f>
        <x:v>-150</x:v>
      </x:c>
      <x:c r="N5" s="21" t="n">
        <x:f>IF(J5="TRUE",ABS(M5),"")</x:f>
        <x:v>150</x:v>
      </x:c>
      <x:c r="O5" s="21" t="str">
        <x:f>IF(AND(B5="driver",ISNUMBER(F5),ISNUMBER(H5)),F5*H5*1000,"")</x:f>
      </x:c>
      <x:c r="P5" s="21" t="str">
        <x:f>IF(AND(B5="driver",ISNUMBER(G5),ISNUMBER(I5)),G5*I5*1000,"")</x:f>
      </x:c>
      <x:c r="Q5" s="21" t="str">
        <x:f>IF(AND(B5="driver",ISNUMBER(G5),ISNUMBER(F5),ISNUMBER(H5)),(G5-F5)*H5*1000,"")</x:f>
      </x:c>
      <x:c r="R5" s="21" t="str">
        <x:f>IF(AND(B5="driver",ISNUMBER(G5),ISNUMBER(I5),ISNUMBER(H5)),G5*(I5-H5)*1000,"")</x:f>
      </x:c>
      <x:c r="S5" s="21" t="str">
        <x:f>IF(B5="driver",E5-P5,"")</x:f>
      </x:c>
      <x:c r="T5" s="21" t="str">
        <x:f>IF(B5="driver",Q5+R5+S5-(E5-D5),"")</x:f>
      </x:c>
    </x:row>
    <x:row r="6">
      <x:c r="A6" s="13" t="n">
        <x:v>45473</x:v>
      </x:c>
      <x:c r="B6" s="12" t="str">
        <x:v>prior_year</x:v>
      </x:c>
      <x:c r="C6" s="13" t="n">
        <x:v>45427</x:v>
      </x:c>
      <x:c r="D6" s="14" t="n">
        <x:v>980</x:v>
      </x:c>
      <x:c r="E6" s="14" t="n">
        <x:v>1250</x:v>
      </x:c>
      <x:c r="F6" s="14"/>
      <x:c r="G6" s="14"/>
      <x:c r="H6" s="20"/>
      <x:c r="I6" s="20"/>
      <x:c r="J6" s="12" t="str">
        <x:v>TRUE</x:v>
      </x:c>
      <x:c r="K6" s="12" t="str"/>
      <x:c r="L6" s="12" t="str">
        <x:v>synthetic_v1</x:v>
      </x:c>
      <x:c r="M6" s="21" t="n">
        <x:f>IF(J6="TRUE",D6-E6,"")</x:f>
        <x:v>-270</x:v>
      </x:c>
      <x:c r="N6" s="21" t="n">
        <x:f>IF(J6="TRUE",ABS(M6),"")</x:f>
        <x:v>270</x:v>
      </x:c>
      <x:c r="O6" s="21" t="str">
        <x:f>IF(AND(B6="driver",ISNUMBER(F6),ISNUMBER(H6)),F6*H6*1000,"")</x:f>
      </x:c>
      <x:c r="P6" s="21" t="str">
        <x:f>IF(AND(B6="driver",ISNUMBER(G6),ISNUMBER(I6)),G6*I6*1000,"")</x:f>
      </x:c>
      <x:c r="Q6" s="21" t="str">
        <x:f>IF(AND(B6="driver",ISNUMBER(G6),ISNUMBER(F6),ISNUMBER(H6)),(G6-F6)*H6*1000,"")</x:f>
      </x:c>
      <x:c r="R6" s="21" t="str">
        <x:f>IF(AND(B6="driver",ISNUMBER(G6),ISNUMBER(I6),ISNUMBER(H6)),G6*(I6-H6)*1000,"")</x:f>
      </x:c>
      <x:c r="S6" s="21" t="str">
        <x:f>IF(B6="driver",E6-P6,"")</x:f>
      </x:c>
      <x:c r="T6" s="21" t="str">
        <x:f>IF(B6="driver",Q6+R6+S6-(E6-D6),"")</x:f>
      </x:c>
    </x:row>
    <x:row r="7">
      <x:c r="A7" s="13" t="n">
        <x:v>45473</x:v>
      </x:c>
      <x:c r="B7" s="12" t="str">
        <x:v>driver</x:v>
      </x:c>
      <x:c r="C7" s="13" t="n">
        <x:v>45427</x:v>
      </x:c>
      <x:c r="D7" s="14" t="n">
        <x:v>1200</x:v>
      </x:c>
      <x:c r="E7" s="14" t="n">
        <x:v>1250</x:v>
      </x:c>
      <x:c r="F7" s="14" t="n">
        <x:v>70</x:v>
      </x:c>
      <x:c r="G7" s="14" t="n">
        <x:v>72</x:v>
      </x:c>
      <x:c r="H7" s="20" t="n">
        <x:v>0.017142857143</x:v>
      </x:c>
      <x:c r="I7" s="20" t="n">
        <x:v>0.017361111111</x:v>
      </x:c>
      <x:c r="J7" s="12" t="str">
        <x:v>TRUE</x:v>
      </x:c>
      <x:c r="K7" s="12" t="str"/>
      <x:c r="L7" s="12" t="str">
        <x:v>synthetic_v1</x:v>
      </x:c>
      <x:c r="M7" s="21" t="n">
        <x:f>IF(J7="TRUE",D7-E7,"")</x:f>
        <x:v>-50</x:v>
      </x:c>
      <x:c r="N7" s="21" t="n">
        <x:f>IF(J7="TRUE",ABS(M7),"")</x:f>
        <x:v>50</x:v>
      </x:c>
      <x:c r="O7" s="21" t="n">
        <x:f>IF(AND(B7="driver",ISNUMBER(F7),ISNUMBER(H7)),F7*H7*1000,"")</x:f>
        <x:v>1200.0000000100001</x:v>
      </x:c>
      <x:c r="P7" s="21" t="n">
        <x:f>IF(AND(B7="driver",ISNUMBER(G7),ISNUMBER(I7)),G7*I7*1000,"")</x:f>
        <x:v>1249.9999999919999</x:v>
      </x:c>
      <x:c r="Q7" s="21" t="n">
        <x:f>IF(AND(B7="driver",ISNUMBER(G7),ISNUMBER(F7),ISNUMBER(H7)),(G7-F7)*H7*1000,"")</x:f>
        <x:v>34.285714286</x:v>
      </x:c>
      <x:c r="R7" s="21" t="n">
        <x:f>IF(AND(B7="driver",ISNUMBER(G7),ISNUMBER(I7),ISNUMBER(H7)),G7*(I7-H7)*1000,"")</x:f>
        <x:v>15.714285695999836</x:v>
      </x:c>
      <x:c r="S7" s="21" t="n">
        <x:f>IF(B7="driver",E7-P7,"")</x:f>
        <x:v>8.00014277047012e-9</x:v>
      </x:c>
      <x:c r="T7" s="21" t="n">
        <x:f>IF(B7="driver",Q7+R7+S7-(E7-D7),"")</x:f>
        <x:v>-1.0000022143685783e-8</x:v>
      </x:c>
    </x:row>
    <x:row r="8">
      <x:c r="A8" s="13" t="n">
        <x:v>45565</x:v>
      </x:c>
      <x:c r="B8" s="12" t="str">
        <x:v>prior_quarter</x:v>
      </x:c>
      <x:c r="C8" s="13" t="n">
        <x:v>45519</x:v>
      </x:c>
      <x:c r="D8" s="14" t="n">
        <x:v>1250</x:v>
      </x:c>
      <x:c r="E8" s="14" t="n">
        <x:v>1180</x:v>
      </x:c>
      <x:c r="F8" s="14"/>
      <x:c r="G8" s="14"/>
      <x:c r="H8" s="20"/>
      <x:c r="I8" s="20"/>
      <x:c r="J8" s="12" t="str">
        <x:v>TRUE</x:v>
      </x:c>
      <x:c r="K8" s="12" t="str"/>
      <x:c r="L8" s="12" t="str">
        <x:v>synthetic_v1</x:v>
      </x:c>
      <x:c r="M8" s="21" t="n">
        <x:f>IF(J8="TRUE",D8-E8,"")</x:f>
        <x:v>70</x:v>
      </x:c>
      <x:c r="N8" s="21" t="n">
        <x:f>IF(J8="TRUE",ABS(M8),"")</x:f>
        <x:v>70</x:v>
      </x:c>
      <x:c r="O8" s="21" t="str">
        <x:f>IF(AND(B8="driver",ISNUMBER(F8),ISNUMBER(H8)),F8*H8*1000,"")</x:f>
      </x:c>
      <x:c r="P8" s="21" t="str">
        <x:f>IF(AND(B8="driver",ISNUMBER(G8),ISNUMBER(I8)),G8*I8*1000,"")</x:f>
      </x:c>
      <x:c r="Q8" s="21" t="str">
        <x:f>IF(AND(B8="driver",ISNUMBER(G8),ISNUMBER(F8),ISNUMBER(H8)),(G8-F8)*H8*1000,"")</x:f>
      </x:c>
      <x:c r="R8" s="21" t="str">
        <x:f>IF(AND(B8="driver",ISNUMBER(G8),ISNUMBER(I8),ISNUMBER(H8)),G8*(I8-H8)*1000,"")</x:f>
      </x:c>
      <x:c r="S8" s="21" t="str">
        <x:f>IF(B8="driver",E8-P8,"")</x:f>
      </x:c>
      <x:c r="T8" s="21" t="str">
        <x:f>IF(B8="driver",Q8+R8+S8-(E8-D8),"")</x:f>
      </x:c>
    </x:row>
    <x:row r="9">
      <x:c r="A9" s="13" t="n">
        <x:v>45565</x:v>
      </x:c>
      <x:c r="B9" s="12" t="str">
        <x:v>prior_year</x:v>
      </x:c>
      <x:c r="C9" s="13" t="n">
        <x:v>45519</x:v>
      </x:c>
      <x:c r="D9" s="14" t="n">
        <x:v>1050</x:v>
      </x:c>
      <x:c r="E9" s="14" t="n">
        <x:v>1180</x:v>
      </x:c>
      <x:c r="F9" s="14"/>
      <x:c r="G9" s="14"/>
      <x:c r="H9" s="20"/>
      <x:c r="I9" s="20"/>
      <x:c r="J9" s="12" t="str">
        <x:v>TRUE</x:v>
      </x:c>
      <x:c r="K9" s="12" t="str"/>
      <x:c r="L9" s="12" t="str">
        <x:v>synthetic_v1</x:v>
      </x:c>
      <x:c r="M9" s="21" t="n">
        <x:f>IF(J9="TRUE",D9-E9,"")</x:f>
        <x:v>-130</x:v>
      </x:c>
      <x:c r="N9" s="21" t="n">
        <x:f>IF(J9="TRUE",ABS(M9),"")</x:f>
        <x:v>130</x:v>
      </x:c>
      <x:c r="O9" s="21" t="str">
        <x:f>IF(AND(B9="driver",ISNUMBER(F9),ISNUMBER(H9)),F9*H9*1000,"")</x:f>
      </x:c>
      <x:c r="P9" s="21" t="str">
        <x:f>IF(AND(B9="driver",ISNUMBER(G9),ISNUMBER(I9)),G9*I9*1000,"")</x:f>
      </x:c>
      <x:c r="Q9" s="21" t="str">
        <x:f>IF(AND(B9="driver",ISNUMBER(G9),ISNUMBER(F9),ISNUMBER(H9)),(G9-F9)*H9*1000,"")</x:f>
      </x:c>
      <x:c r="R9" s="21" t="str">
        <x:f>IF(AND(B9="driver",ISNUMBER(G9),ISNUMBER(I9),ISNUMBER(H9)),G9*(I9-H9)*1000,"")</x:f>
      </x:c>
      <x:c r="S9" s="21" t="str">
        <x:f>IF(B9="driver",E9-P9,"")</x:f>
      </x:c>
      <x:c r="T9" s="21" t="str">
        <x:f>IF(B9="driver",Q9+R9+S9-(E9-D9),"")</x:f>
      </x:c>
    </x:row>
    <x:row r="10">
      <x:c r="A10" s="13" t="n">
        <x:v>45565</x:v>
      </x:c>
      <x:c r="B10" s="12" t="str">
        <x:v>driver</x:v>
      </x:c>
      <x:c r="C10" s="13" t="n">
        <x:v>45519</x:v>
      </x:c>
      <x:c r="D10" s="14" t="n">
        <x:v>1215</x:v>
      </x:c>
      <x:c r="E10" s="14" t="n">
        <x:v>1180</x:v>
      </x:c>
      <x:c r="F10" s="14" t="n">
        <x:v>69</x:v>
      </x:c>
      <x:c r="G10" s="14" t="n">
        <x:v>68</x:v>
      </x:c>
      <x:c r="H10" s="20" t="n">
        <x:v>0.017608695652</x:v>
      </x:c>
      <x:c r="I10" s="20" t="n">
        <x:v>0.017352941176</x:v>
      </x:c>
      <x:c r="J10" s="12" t="str">
        <x:v>TRUE</x:v>
      </x:c>
      <x:c r="K10" s="12" t="str"/>
      <x:c r="L10" s="12" t="str">
        <x:v>synthetic_v1</x:v>
      </x:c>
      <x:c r="M10" s="21" t="n">
        <x:f>IF(J10="TRUE",D10-E10,"")</x:f>
        <x:v>35</x:v>
      </x:c>
      <x:c r="N10" s="21" t="n">
        <x:f>IF(J10="TRUE",ABS(M10),"")</x:f>
        <x:v>35</x:v>
      </x:c>
      <x:c r="O10" s="21" t="n">
        <x:f>IF(AND(B10="driver",ISNUMBER(F10),ISNUMBER(H10)),F10*H10*1000,"")</x:f>
        <x:v>1214.999999988</x:v>
      </x:c>
      <x:c r="P10" s="21" t="n">
        <x:f>IF(AND(B10="driver",ISNUMBER(G10),ISNUMBER(I10)),G10*I10*1000,"")</x:f>
        <x:v>1179.9999999679999</x:v>
      </x:c>
      <x:c r="Q10" s="21" t="n">
        <x:f>IF(AND(B10="driver",ISNUMBER(G10),ISNUMBER(F10),ISNUMBER(H10)),(G10-F10)*H10*1000,"")</x:f>
        <x:v>-17.608695651999998</x:v>
      </x:c>
      <x:c r="R10" s="21" t="n">
        <x:f>IF(AND(B10="driver",ISNUMBER(G10),ISNUMBER(I10),ISNUMBER(H10)),G10*(I10-H10)*1000,"")</x:f>
        <x:v>-17.391304368000014</x:v>
      </x:c>
      <x:c r="S10" s="21" t="n">
        <x:f>IF(B10="driver",E10-P10,"")</x:f>
        <x:v>3.2000116334529594e-8</x:v>
      </x:c>
      <x:c r="T10" s="21" t="n">
        <x:f>IF(B10="driver",Q10+R10+S10-(E10-D10),"")</x:f>
        <x:v>1.2000100468867458e-8</x:v>
      </x:c>
    </x:row>
    <x:row r="11">
      <x:c r="A11" s="13" t="n">
        <x:v>45657</x:v>
      </x:c>
      <x:c r="B11" s="12" t="str">
        <x:v>prior_quarter</x:v>
      </x:c>
      <x:c r="C11" s="13" t="n">
        <x:v>45611</x:v>
      </x:c>
      <x:c r="D11" s="14" t="n">
        <x:v>1180</x:v>
      </x:c>
      <x:c r="E11" s="14" t="n">
        <x:v>1400</x:v>
      </x:c>
      <x:c r="F11" s="14"/>
      <x:c r="G11" s="14"/>
      <x:c r="H11" s="20"/>
      <x:c r="I11" s="20"/>
      <x:c r="J11" s="12" t="str">
        <x:v>TRUE</x:v>
      </x:c>
      <x:c r="K11" s="12" t="str"/>
      <x:c r="L11" s="12" t="str">
        <x:v>synthetic_v1</x:v>
      </x:c>
      <x:c r="M11" s="21" t="n">
        <x:f>IF(J11="TRUE",D11-E11,"")</x:f>
        <x:v>-220</x:v>
      </x:c>
      <x:c r="N11" s="21" t="n">
        <x:f>IF(J11="TRUE",ABS(M11),"")</x:f>
        <x:v>220</x:v>
      </x:c>
      <x:c r="O11" s="21" t="str">
        <x:f>IF(AND(B11="driver",ISNUMBER(F11),ISNUMBER(H11)),F11*H11*1000,"")</x:f>
      </x:c>
      <x:c r="P11" s="21" t="str">
        <x:f>IF(AND(B11="driver",ISNUMBER(G11),ISNUMBER(I11)),G11*I11*1000,"")</x:f>
      </x:c>
      <x:c r="Q11" s="21" t="str">
        <x:f>IF(AND(B11="driver",ISNUMBER(G11),ISNUMBER(F11),ISNUMBER(H11)),(G11-F11)*H11*1000,"")</x:f>
      </x:c>
      <x:c r="R11" s="21" t="str">
        <x:f>IF(AND(B11="driver",ISNUMBER(G11),ISNUMBER(I11),ISNUMBER(H11)),G11*(I11-H11)*1000,"")</x:f>
      </x:c>
      <x:c r="S11" s="21" t="str">
        <x:f>IF(B11="driver",E11-P11,"")</x:f>
      </x:c>
      <x:c r="T11" s="21" t="str">
        <x:f>IF(B11="driver",Q11+R11+S11-(E11-D11),"")</x:f>
      </x:c>
    </x:row>
    <x:row r="12">
      <x:c r="A12" s="13" t="n">
        <x:v>45657</x:v>
      </x:c>
      <x:c r="B12" s="12" t="str">
        <x:v>prior_year</x:v>
      </x:c>
      <x:c r="C12" s="13" t="n">
        <x:v>45611</x:v>
      </x:c>
      <x:c r="D12" s="14" t="n">
        <x:v>1150</x:v>
      </x:c>
      <x:c r="E12" s="14" t="n">
        <x:v>1400</x:v>
      </x:c>
      <x:c r="F12" s="14"/>
      <x:c r="G12" s="14"/>
      <x:c r="H12" s="20"/>
      <x:c r="I12" s="20"/>
      <x:c r="J12" s="12" t="str">
        <x:v>TRUE</x:v>
      </x:c>
      <x:c r="K12" s="12" t="str"/>
      <x:c r="L12" s="12" t="str">
        <x:v>synthetic_v1</x:v>
      </x:c>
      <x:c r="M12" s="21" t="n">
        <x:f>IF(J12="TRUE",D12-E12,"")</x:f>
        <x:v>-250</x:v>
      </x:c>
      <x:c r="N12" s="21" t="n">
        <x:f>IF(J12="TRUE",ABS(M12),"")</x:f>
        <x:v>250</x:v>
      </x:c>
      <x:c r="O12" s="21" t="str">
        <x:f>IF(AND(B12="driver",ISNUMBER(F12),ISNUMBER(H12)),F12*H12*1000,"")</x:f>
      </x:c>
      <x:c r="P12" s="21" t="str">
        <x:f>IF(AND(B12="driver",ISNUMBER(G12),ISNUMBER(I12)),G12*I12*1000,"")</x:f>
      </x:c>
      <x:c r="Q12" s="21" t="str">
        <x:f>IF(AND(B12="driver",ISNUMBER(G12),ISNUMBER(F12),ISNUMBER(H12)),(G12-F12)*H12*1000,"")</x:f>
      </x:c>
      <x:c r="R12" s="21" t="str">
        <x:f>IF(AND(B12="driver",ISNUMBER(G12),ISNUMBER(I12),ISNUMBER(H12)),G12*(I12-H12)*1000,"")</x:f>
      </x:c>
      <x:c r="S12" s="21" t="str">
        <x:f>IF(B12="driver",E12-P12,"")</x:f>
      </x:c>
      <x:c r="T12" s="21" t="str">
        <x:f>IF(B12="driver",Q12+R12+S12-(E12-D12),"")</x:f>
      </x:c>
    </x:row>
    <x:row r="13">
      <x:c r="A13" s="13" t="n">
        <x:v>45657</x:v>
      </x:c>
      <x:c r="B13" s="12" t="str">
        <x:v>driver</x:v>
      </x:c>
      <x:c r="C13" s="13" t="n">
        <x:v>45611</x:v>
      </x:c>
      <x:c r="D13" s="14" t="n">
        <x:v>1360</x:v>
      </x:c>
      <x:c r="E13" s="14" t="n">
        <x:v>1400</x:v>
      </x:c>
      <x:c r="F13" s="14" t="n">
        <x:v>78</x:v>
      </x:c>
      <x:c r="G13" s="14" t="n">
        <x:v>80</x:v>
      </x:c>
      <x:c r="H13" s="20" t="n">
        <x:v>0.017435897436000002</x:v>
      </x:c>
      <x:c r="I13" s="20" t="n">
        <x:v>0.0175</x:v>
      </x:c>
      <x:c r="J13" s="12" t="str">
        <x:v>TRUE</x:v>
      </x:c>
      <x:c r="K13" s="12" t="str"/>
      <x:c r="L13" s="12" t="str">
        <x:v>synthetic_v1</x:v>
      </x:c>
      <x:c r="M13" s="21" t="n">
        <x:f>IF(J13="TRUE",D13-E13,"")</x:f>
        <x:v>-40</x:v>
      </x:c>
      <x:c r="N13" s="21" t="n">
        <x:f>IF(J13="TRUE",ABS(M13),"")</x:f>
        <x:v>40</x:v>
      </x:c>
      <x:c r="O13" s="21" t="n">
        <x:f>IF(AND(B13="driver",ISNUMBER(F13),ISNUMBER(H13)),F13*H13*1000,"")</x:f>
        <x:v>1360.0000000080001</x:v>
      </x:c>
      <x:c r="P13" s="21" t="n">
        <x:f>IF(AND(B13="driver",ISNUMBER(G13),ISNUMBER(I13)),G13*I13*1000,"")</x:f>
        <x:v>1400.0000000000002</x:v>
      </x:c>
      <x:c r="Q13" s="21" t="n">
        <x:f>IF(AND(B13="driver",ISNUMBER(G13),ISNUMBER(F13),ISNUMBER(H13)),(G13-F13)*H13*1000,"")</x:f>
        <x:v>34.871794872</x:v>
      </x:c>
      <x:c r="R13" s="21" t="n">
        <x:f>IF(AND(B13="driver",ISNUMBER(G13),ISNUMBER(I13),ISNUMBER(H13)),G13*(I13-H13)*1000,"")</x:f>
        <x:v>5.128205119999951</x:v>
      </x:c>
      <x:c r="S13" s="21" t="n">
        <x:f>IF(B13="driver",E13-P13,"")</x:f>
        <x:v>-2.2737367544323206e-13</x:v>
      </x:c>
      <x:c r="T13" s="21" t="n">
        <x:f>IF(B13="driver",Q13+R13+S13-(E13-D13),"")</x:f>
        <x:v>-8.000270668162557e-9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C7A2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2.889999389648438" hidden="0" customWidth="1"/>
    <x:col min="4" max="4" width="9.329999923706055" hidden="0" customWidth="1"/>
    <x:col min="5" max="5" width="12" hidden="0" customWidth="1"/>
    <x:col min="6" max="6" width="15.329999923706055" hidden="0" customWidth="1"/>
    <x:col min="7" max="7" width="32" hidden="0" customWidth="1"/>
  </x:cols>
  <x:sheetData>
    <x:row r="1">
      <x:c r="A1" s="3" t="str">
        <x:v>SAMPLE / NOT FOR SHARING</x:v>
      </x:c>
      <x:c r="B1" s="4"/>
      <x:c r="C1" s="4"/>
      <x:c r="D1" s="4"/>
      <x:c r="E1" s="4"/>
      <x:c r="F1" s="4"/>
      <x:c r="G1" s="5"/>
    </x:row>
    <x:row r="2">
      <x:c r="A2" s="10" t="str">
        <x:v>Period end</x:v>
      </x:c>
      <x:c r="B2" s="10" t="str">
        <x:v>Consumer transaction revenue ($mm)</x:v>
      </x:c>
      <x:c r="C2" s="10" t="str">
        <x:v>Consumer trading volume ($bn)</x:v>
      </x:c>
      <x:c r="D2" s="10" t="str">
        <x:v>Published at</x:v>
      </x:c>
      <x:c r="E2" s="10" t="str">
        <x:v>Definition family</x:v>
      </x:c>
      <x:c r="F2" s="10" t="str">
        <x:v>Evidence label</x:v>
      </x:c>
      <x:c r="G2" s="10" t="str">
        <x:v>Source reference</x:v>
      </x:c>
    </x:row>
    <x:row r="3">
      <x:c r="A3" s="13" t="n">
        <x:v>45382</x:v>
      </x:c>
      <x:c r="B3" s="14" t="n">
        <x:v>1100</x:v>
      </x:c>
      <x:c r="C3" s="15" t="n">
        <x:v>60</x:v>
      </x:c>
      <x:c r="D3" s="13" t="n">
        <x:v>45414</x:v>
      </x:c>
      <x:c r="E3" s="12" t="str">
        <x:v>synthetic_v1</x:v>
      </x:c>
      <x:c r="F3" s="12" t="str">
        <x:v>SYNTHETIC SAMPLE</x:v>
      </x:c>
      <x:c r="G3" s="12" t="str">
        <x:v>fixture://quarter-2024-q1</x:v>
      </x:c>
    </x:row>
    <x:row r="4">
      <x:c r="A4" s="13" t="n">
        <x:v>45473</x:v>
      </x:c>
      <x:c r="B4" s="14" t="n">
        <x:v>1250</x:v>
      </x:c>
      <x:c r="C4" s="15" t="n">
        <x:v>72</x:v>
      </x:c>
      <x:c r="D4" s="13" t="n">
        <x:v>45505</x:v>
      </x:c>
      <x:c r="E4" s="12" t="str">
        <x:v>synthetic_v1</x:v>
      </x:c>
      <x:c r="F4" s="12" t="str">
        <x:v>SYNTHETIC SAMPLE</x:v>
      </x:c>
      <x:c r="G4" s="12" t="str">
        <x:v>fixture://quarter-2024-q2</x:v>
      </x:c>
    </x:row>
    <x:row r="5">
      <x:c r="A5" s="13" t="n">
        <x:v>45565</x:v>
      </x:c>
      <x:c r="B5" s="14" t="n">
        <x:v>1180</x:v>
      </x:c>
      <x:c r="C5" s="15" t="n">
        <x:v>68</x:v>
      </x:c>
      <x:c r="D5" s="13" t="n">
        <x:v>45595</x:v>
      </x:c>
      <x:c r="E5" s="12" t="str">
        <x:v>synthetic_v1</x:v>
      </x:c>
      <x:c r="F5" s="12" t="str">
        <x:v>SYNTHETIC SAMPLE</x:v>
      </x:c>
      <x:c r="G5" s="12" t="str">
        <x:v>fixture://quarter-2024-q3</x:v>
      </x:c>
    </x:row>
    <x:row r="6">
      <x:c r="A6" s="13" t="n">
        <x:v>45657</x:v>
      </x:c>
      <x:c r="B6" s="14" t="n">
        <x:v>1400</x:v>
      </x:c>
      <x:c r="C6" s="15" t="n">
        <x:v>80</x:v>
      </x:c>
      <x:c r="D6" s="13" t="n">
        <x:v>45701</x:v>
      </x:c>
      <x:c r="E6" s="12" t="str">
        <x:v>synthetic_v1</x:v>
      </x:c>
      <x:c r="F6" s="12" t="str">
        <x:v>SYNTHETIC SAMPLE</x:v>
      </x:c>
      <x:c r="G6" s="12" t="str">
        <x:v>fixture://quarter-2024-q4</x:v>
      </x:c>
    </x:row>
  </x:sheetData>
  <x:pageMargins left="0.7" right="0.7" top="0.75" bottom="0.75" header="0.3" footer="0.3"/>
</x:worksheet>
</file>